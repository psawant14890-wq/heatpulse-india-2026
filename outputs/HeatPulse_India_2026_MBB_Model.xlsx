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Sensitivity Analysis" sheetId="2" state="visible" r:id="rId4"/>
    <sheet name="State Risk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<sst xmlns="http://schemas.openxmlformats.org/spreadsheetml/2006/main" count="183" uniqueCount="145">
  <si>
    <t xml:space="preserve">HeatPulse India 2026</t>
  </si>
  <si>
    <t xml:space="preserve">Heat Stress Economic Impact &amp; Sensitivity Model  |  MBB Executive Summary</t>
  </si>
  <si>
    <t xml:space="preserve">SITUATION</t>
  </si>
  <si>
    <t xml:space="preserve">India's Summer 2026 was the 3rd consecutive record season. Peak grid demand hit 270.82 GW (May 21) — all-time absolute record, +8.3% vs 2024. Balangir, Odisha: 48°C on May 22, world's hottest city. 97 of world's 100 hottest cities simultaneously in India.</t>
  </si>
  <si>
    <t xml:space="preserve">COMPLICATION</t>
  </si>
  <si>
    <t xml:space="preserve">$194B in economic losses nationally. 247B labour hours lost (Carnegie/Lancet 2024). Agriculture sector alone: $71.9B loss. RBI/McKinsey/World Bank: 2.5–4.5% GDP at risk by 2030 ($130B–$234B/yr). Heatwaves NOT classified as natural disasters under DMA 2005.</t>
  </si>
  <si>
    <t xml:space="preserve">RECOMMENDATION</t>
  </si>
  <si>
    <t xml:space="preserve">Prioritise Heat Action Plans in 5 Critical/Very High states (Odisha, Chhattisgarh, Jharkhand, Rajasthan, MP) — 34% of national loss in 12% of population. $1B targeted investment → est. 50:1 ROI. Single highest-leverage action: reclassify heatwaves as natural disasters under DMA 2005.</t>
  </si>
  <si>
    <t xml:space="preserve">KEY METRICS AT A GLANCE</t>
  </si>
  <si>
    <t xml:space="preserve">Metric</t>
  </si>
  <si>
    <t xml:space="preserve">Value</t>
  </si>
  <si>
    <t xml:space="preserve">Detail</t>
  </si>
  <si>
    <t xml:space="preserve">Source</t>
  </si>
  <si>
    <t xml:space="preserve">Peak Grid Demand</t>
  </si>
  <si>
    <t xml:space="preserve">270.82 GW</t>
  </si>
  <si>
    <t xml:space="preserve">All-time record (May 21 2026)</t>
  </si>
  <si>
    <t xml:space="preserve">Grid-India PSP</t>
  </si>
  <si>
    <t xml:space="preserve">Demand vs 2024</t>
  </si>
  <si>
    <t xml:space="preserve">+20.82 GW / +8.3%</t>
  </si>
  <si>
    <t xml:space="preserve">Absolute increase in 2 years</t>
  </si>
  <si>
    <t xml:space="preserve">Grid-India</t>
  </si>
  <si>
    <t xml:space="preserve">Economic Loss</t>
  </si>
  <si>
    <t xml:space="preserve">$194 Billion</t>
  </si>
  <si>
    <t xml:space="preserve">National, 2026 estimate</t>
  </si>
  <si>
    <t xml:space="preserve">Carnegie/Lancet 2024</t>
  </si>
  <si>
    <t xml:space="preserve">Labour Hrs Lost</t>
  </si>
  <si>
    <t xml:space="preserve">247 Billion hrs</t>
  </si>
  <si>
    <t xml:space="preserve">3rd consecutive record year</t>
  </si>
  <si>
    <t xml:space="preserve">ILO / Carnegie</t>
  </si>
  <si>
    <t xml:space="preserve">Hottest Point</t>
  </si>
  <si>
    <t xml:space="preserve">48.2°C</t>
  </si>
  <si>
    <t xml:space="preserve">Sri Ganganagar, Rajasthan (May 27)</t>
  </si>
  <si>
    <t xml:space="preserve">IMD confirmed</t>
  </si>
  <si>
    <t xml:space="preserve">Critical States</t>
  </si>
  <si>
    <t xml:space="preserve">2 states</t>
  </si>
  <si>
    <t xml:space="preserve">Odisha (92.6) + Chhattisgarh (86.8)</t>
  </si>
  <si>
    <t xml:space="preserve">This model</t>
  </si>
  <si>
    <t xml:space="preserve">GDP at Risk 2030</t>
  </si>
  <si>
    <t xml:space="preserve">$182B/yr</t>
  </si>
  <si>
    <t xml:space="preserve">Base case: 3.5% of projected GDP</t>
  </si>
  <si>
    <t xml:space="preserve">McKinsey/RBI/WB</t>
  </si>
  <si>
    <t xml:space="preserve">Jobs at Risk 2030</t>
  </si>
  <si>
    <t xml:space="preserve">34 Million</t>
  </si>
  <si>
    <t xml:space="preserve">Base case (ILO)</t>
  </si>
  <si>
    <t xml:space="preserve">ILO 2024</t>
  </si>
  <si>
    <t xml:space="preserve">Sources: IMD press releases | Grid-India PSP reports | Lancet Countdown India 2024 | Carnegie Endowment June 2026 | ILO 'Working on a Warmer Planet' | McKinsey Global Institute | RBI | World Bank | AP Health Ministry</t>
  </si>
  <si>
    <t xml:space="preserve">Sensitivity Analysis — GDP-at-Risk by 2030</t>
  </si>
  <si>
    <t xml:space="preserve">ASSUMPTIONS  (blue = inputs you can change)</t>
  </si>
  <si>
    <t xml:space="preserve">Assumption</t>
  </si>
  <si>
    <t xml:space="preserve">Cell Ref</t>
  </si>
  <si>
    <t xml:space="preserve">India Projected GDP 2030 (US$B)</t>
  </si>
  <si>
    <t xml:space="preserve">B6</t>
  </si>
  <si>
    <t xml:space="preserve">IMF World Economic Outlook 2026</t>
  </si>
  <si>
    <t xml:space="preserve">Conservative GDP Loss %</t>
  </si>
  <si>
    <t xml:space="preserve">B7</t>
  </si>
  <si>
    <t xml:space="preserve">World Bank lower bound</t>
  </si>
  <si>
    <t xml:space="preserve">Base Case GDP Loss %</t>
  </si>
  <si>
    <t xml:space="preserve">B8</t>
  </si>
  <si>
    <t xml:space="preserve">McKinsey/RBI mid-point estimate</t>
  </si>
  <si>
    <t xml:space="preserve">Severe GDP Loss %</t>
  </si>
  <si>
    <t xml:space="preserve">B9</t>
  </si>
  <si>
    <t xml:space="preserve">McKinsey upper bound</t>
  </si>
  <si>
    <t xml:space="preserve">Labour Hours at Risk — Conservative (B)</t>
  </si>
  <si>
    <t xml:space="preserve">B10</t>
  </si>
  <si>
    <t xml:space="preserve">ILO projection</t>
  </si>
  <si>
    <t xml:space="preserve">Labour Hours at Risk — Base (B)</t>
  </si>
  <si>
    <t xml:space="preserve">B11</t>
  </si>
  <si>
    <t xml:space="preserve">Labour Hours at Risk — Severe (B)</t>
  </si>
  <si>
    <t xml:space="preserve">B12</t>
  </si>
  <si>
    <t xml:space="preserve">Jobs at Risk — Conservative (M)</t>
  </si>
  <si>
    <t xml:space="preserve">B13</t>
  </si>
  <si>
    <t xml:space="preserve">ILO lower</t>
  </si>
  <si>
    <t xml:space="preserve">Jobs at Risk — Base (M)</t>
  </si>
  <si>
    <t xml:space="preserve">B14</t>
  </si>
  <si>
    <t xml:space="preserve">ILO base case</t>
  </si>
  <si>
    <t xml:space="preserve">Jobs at Risk — Severe (M)</t>
  </si>
  <si>
    <t xml:space="preserve">B15</t>
  </si>
  <si>
    <t xml:space="preserve">ILO upper</t>
  </si>
  <si>
    <t xml:space="preserve">India Population 2030 (B)</t>
  </si>
  <si>
    <t xml:space="preserve">B16</t>
  </si>
  <si>
    <t xml:space="preserve">UN projection</t>
  </si>
  <si>
    <t xml:space="preserve">Top-5 State Share of National Loss (%)</t>
  </si>
  <si>
    <t xml:space="preserve">B17</t>
  </si>
  <si>
    <t xml:space="preserve">Intervention Budget ($B)</t>
  </si>
  <si>
    <t xml:space="preserve">B18</t>
  </si>
  <si>
    <t xml:space="preserve">Scenario assumption</t>
  </si>
  <si>
    <t xml:space="preserve">SCENARIO OUTPUT  (black = formulas, linked to assumptions above)</t>
  </si>
  <si>
    <t xml:space="preserve">Conservative
(2.5% GDP)</t>
  </si>
  <si>
    <t xml:space="preserve">Base Case
(3.5% GDP)</t>
  </si>
  <si>
    <t xml:space="preserve">Severe
(4.5% GDP)</t>
  </si>
  <si>
    <t xml:space="preserve">GDP Loss by 2030 (US$B)</t>
  </si>
  <si>
    <t xml:space="preserve">GDP Loss (% of 2030 GDP)</t>
  </si>
  <si>
    <t xml:space="preserve">Monthly Loss Run-Rate (US$B)</t>
  </si>
  <si>
    <t xml:space="preserve">Derived</t>
  </si>
  <si>
    <t xml:space="preserve">Per-Capita Loss (US$)</t>
  </si>
  <si>
    <t xml:space="preserve">Labour Hours at Risk (Billion)</t>
  </si>
  <si>
    <t xml:space="preserve">ILO</t>
  </si>
  <si>
    <t xml:space="preserve">Jobs at Risk (Million)</t>
  </si>
  <si>
    <t xml:space="preserve">Top-5 State Loss (US$B)</t>
  </si>
  <si>
    <t xml:space="preserve">Intervention ROI (x)</t>
  </si>
  <si>
    <t xml:space="preserve">WHAT WOULD CHANGE THE RECOMMENDATION?</t>
  </si>
  <si>
    <t xml:space="preserve">▸  If India achieves heatwave reclassification under DMA 2005 AND deploys HAPs in all 23 NDMA states → base-case losses compress 18–25%; Rajasthan rises relative to Odisha in priority ranking</t>
  </si>
  <si>
    <t xml:space="preserve">▸  If Bihar heatwave-day count was understated → Bihar could displace Jharkhand in top-5 priority list; Odisha/Chhattisgarh recommendation is robust across all scenarios</t>
  </si>
  <si>
    <t xml:space="preserve">▸  If 2030 monsoon normalises (La Niña) → conservative scenario becomes more likely; ROI estimate widens to 80:1 vs current 50:1 base case</t>
  </si>
  <si>
    <t xml:space="preserve">State Heat Risk Model — 18 States × 2026 Data</t>
  </si>
  <si>
    <t xml:space="preserve">State</t>
  </si>
  <si>
    <t xml:space="preserve">Region</t>
  </si>
  <si>
    <t xml:space="preserve">Risk Tier</t>
  </si>
  <si>
    <t xml:space="preserve">Risk Score</t>
  </si>
  <si>
    <t xml:space="preserve">Peak Temp
(°C)</t>
  </si>
  <si>
    <t xml:space="preserve">Anomaly
(°C)</t>
  </si>
  <si>
    <t xml:space="preserve">HW Days
2026</t>
  </si>
  <si>
    <t xml:space="preserve">Econ Loss
($M)</t>
  </si>
  <si>
    <t xml:space="preserve">Cases
2026</t>
  </si>
  <si>
    <t xml:space="preserve">Informal WF
(%)</t>
  </si>
  <si>
    <t xml:space="preserve">Odisha</t>
  </si>
  <si>
    <t xml:space="preserve">East</t>
  </si>
  <si>
    <t xml:space="preserve">Critical</t>
  </si>
  <si>
    <t xml:space="preserve">Chhattisgarh</t>
  </si>
  <si>
    <t xml:space="preserve">Central</t>
  </si>
  <si>
    <t xml:space="preserve">Jharkhand</t>
  </si>
  <si>
    <t xml:space="preserve">Very High</t>
  </si>
  <si>
    <t xml:space="preserve">Rajasthan</t>
  </si>
  <si>
    <t xml:space="preserve">Northwest</t>
  </si>
  <si>
    <t xml:space="preserve">Madhya Pradesh</t>
  </si>
  <si>
    <t xml:space="preserve">Bihar</t>
  </si>
  <si>
    <t xml:space="preserve">Indo-Gangetic</t>
  </si>
  <si>
    <t xml:space="preserve">Uttar Pradesh</t>
  </si>
  <si>
    <t xml:space="preserve">Haryana</t>
  </si>
  <si>
    <t xml:space="preserve">Andhra Pradesh</t>
  </si>
  <si>
    <t xml:space="preserve">South Peninsula</t>
  </si>
  <si>
    <t xml:space="preserve">High</t>
  </si>
  <si>
    <t xml:space="preserve">Telangana</t>
  </si>
  <si>
    <t xml:space="preserve">Gujarat</t>
  </si>
  <si>
    <t xml:space="preserve">West</t>
  </si>
  <si>
    <t xml:space="preserve">Punjab</t>
  </si>
  <si>
    <t xml:space="preserve">Maharashtra</t>
  </si>
  <si>
    <t xml:space="preserve">West Bengal</t>
  </si>
  <si>
    <t xml:space="preserve">Moderate</t>
  </si>
  <si>
    <t xml:space="preserve">Delhi</t>
  </si>
  <si>
    <t xml:space="preserve">Karnataka</t>
  </si>
  <si>
    <t xml:space="preserve">South</t>
  </si>
  <si>
    <t xml:space="preserve">Tamil Nadu</t>
  </si>
  <si>
    <t xml:space="preserve">Kerala</t>
  </si>
  <si>
    <t xml:space="preserve">NATIONAL TOTAL / 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</si>
</sst>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1"/>
      <color rgb="FFAEC7E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1252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12529"/>
      <name val="Arial"/>
      <family val="0"/>
      <charset val="1"/>
    </font>
    <font>
      <b val="true"/>
      <sz val="11"/>
      <color rgb="FFD62728"/>
      <name val="Arial"/>
      <family val="0"/>
      <charset val="1"/>
    </font>
    <font>
      <sz val="10"/>
      <color rgb="FF6C757D"/>
      <name val="Arial"/>
      <family val="0"/>
      <charset val="1"/>
    </font>
    <font>
      <i val="true"/>
      <sz val="9"/>
      <color rgb="FF6C757D"/>
      <name val="Arial"/>
      <family val="0"/>
      <charset val="1"/>
    </font>
    <font>
      <i val="true"/>
      <sz val="8"/>
      <color rgb="FF6C757D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b val="true"/>
      <sz val="10"/>
      <color rgb="FFFF7F0E"/>
      <name val="Arial"/>
      <family val="0"/>
      <charset val="1"/>
    </font>
    <font>
      <b val="true"/>
      <sz val="10"/>
      <color rgb="FFFFC107"/>
      <name val="Arial"/>
      <family val="0"/>
      <charset val="1"/>
    </font>
    <font>
      <b val="true"/>
      <sz val="10"/>
      <color rgb="FF00695C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212529"/>
      </patternFill>
    </fill>
    <fill>
      <patternFill patternType="solid">
        <fgColor rgb="FF1B2A4A"/>
        <bgColor rgb="FF212529"/>
      </patternFill>
    </fill>
    <fill>
      <patternFill patternType="solid">
        <fgColor rgb="FFF8F9FA"/>
        <bgColor rgb="FFFFFFFF"/>
      </patternFill>
    </fill>
    <fill>
      <patternFill patternType="solid">
        <fgColor rgb="FFD62728"/>
        <bgColor rgb="FFFF0000"/>
      </patternFill>
    </fill>
    <fill>
      <patternFill patternType="solid">
        <fgColor rgb="FF00695C"/>
        <bgColor rgb="FF008080"/>
      </patternFill>
    </fill>
    <fill>
      <patternFill patternType="solid">
        <fgColor rgb="FFF1F3F5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8B0000"/>
        <bgColor rgb="FF800000"/>
      </patternFill>
    </fill>
    <fill>
      <patternFill patternType="solid">
        <fgColor rgb="FFFFCCCC"/>
        <bgColor rgb="FFFFE5CC"/>
      </patternFill>
    </fill>
    <fill>
      <patternFill patternType="solid">
        <fgColor rgb="FFFFF8E1"/>
        <bgColor rgb="FFF8F9FA"/>
      </patternFill>
    </fill>
    <fill>
      <patternFill patternType="solid">
        <fgColor rgb="FFE0F2F1"/>
        <bgColor rgb="FFE8EDF5"/>
      </patternFill>
    </fill>
    <fill>
      <patternFill patternType="solid">
        <fgColor rgb="FFE8EDF5"/>
        <bgColor rgb="FFE0F2F1"/>
      </patternFill>
    </fill>
    <fill>
      <patternFill patternType="solid">
        <fgColor rgb="FFFFE5CC"/>
        <bgColor rgb="FFFFF8E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thin">
        <color rgb="FF0D1B2A"/>
      </bottom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 diagonalUp="false" diagonalDown="false">
      <left style="thin">
        <color rgb="FFD62728"/>
      </left>
      <right style="thin">
        <color rgb="FFD62728"/>
      </right>
      <top style="thin">
        <color rgb="FFD62728"/>
      </top>
      <bottom style="thin">
        <color rgb="FFD62728"/>
      </bottom>
      <diagonal/>
    </border>
    <border diagonalUp="false" diagonalDown="false">
      <left style="thin">
        <color rgb="FF00695C"/>
      </left>
      <right style="thin">
        <color rgb="FF00695C"/>
      </right>
      <top style="thin">
        <color rgb="FF00695C"/>
      </top>
      <bottom style="thin">
        <color rgb="FF00695C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/>
      <top/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695C"/>
      <rgbColor rgb="FFF8F9FA"/>
      <rgbColor rgb="FF6C757D"/>
      <rgbColor rgb="FF9999FF"/>
      <rgbColor rgb="FF993366"/>
      <rgbColor rgb="FFFFF8E1"/>
      <rgbColor rgb="FFE0F2F1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5"/>
      <rgbColor rgb="FFF1F3F5"/>
      <rgbColor rgb="FFFFE5CC"/>
      <rgbColor rgb="FFAEC7E8"/>
      <rgbColor rgb="FFFF99CC"/>
      <rgbColor rgb="FFCC99FF"/>
      <rgbColor rgb="FFFFCCCC"/>
      <rgbColor rgb="FF3366FF"/>
      <rgbColor rgb="FF33CCCC"/>
      <rgbColor rgb="FF99CC00"/>
      <rgbColor rgb="FFFFC107"/>
      <rgbColor rgb="FFFF9900"/>
      <rgbColor rgb="FFFF7F0E"/>
      <rgbColor rgb="FF666699"/>
      <rgbColor rgb="FF969696"/>
      <rgbColor rgb="FF1B2A4A"/>
      <rgbColor rgb="FF339966"/>
      <rgbColor rgb="FF0D1B2A"/>
      <rgbColor rgb="FF333300"/>
      <rgbColor rgb="FFD62728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22"/>
    <col collapsed="false" customWidth="true" hidden="false" outlineLevel="0" max="7" min="7" style="1" width="2"/>
  </cols>
  <sheetData>
    <row r="1" customFormat="false" ht="7.5" hidden="false" customHeight="true" outlineLevel="0" collapsed="false"/>
    <row r="2" customFormat="false" ht="48" hidden="false" customHeight="true" outlineLevel="0" collapsed="false">
      <c r="A2" s="2"/>
      <c r="B2" s="3" t="s">
        <v>0</v>
      </c>
      <c r="C2" s="3"/>
      <c r="D2" s="3"/>
      <c r="E2" s="3"/>
      <c r="F2" s="3"/>
      <c r="G2" s="2"/>
    </row>
    <row r="3" customFormat="false" ht="21.75" hidden="false" customHeight="true" outlineLevel="0" collapsed="false">
      <c r="A3" s="4"/>
      <c r="B3" s="5" t="s">
        <v>1</v>
      </c>
      <c r="C3" s="5"/>
      <c r="D3" s="5"/>
      <c r="E3" s="5"/>
      <c r="F3" s="5"/>
      <c r="G3" s="4"/>
    </row>
    <row r="5" customFormat="false" ht="13.5" hidden="false" customHeight="true" outlineLevel="0" collapsed="false">
      <c r="A5" s="6"/>
      <c r="B5" s="6"/>
      <c r="C5" s="6"/>
      <c r="D5" s="6"/>
      <c r="E5" s="6"/>
      <c r="F5" s="6"/>
      <c r="G5" s="6"/>
    </row>
    <row r="6" customFormat="false" ht="13.5" hidden="false" customHeight="true" outlineLevel="0" collapsed="false"/>
    <row r="7" customFormat="false" ht="69.75" hidden="false" customHeight="true" outlineLevel="0" collapsed="false">
      <c r="B7" s="7" t="s">
        <v>2</v>
      </c>
      <c r="C7" s="8" t="s">
        <v>3</v>
      </c>
      <c r="D7" s="8"/>
      <c r="E7" s="8"/>
      <c r="F7" s="8"/>
    </row>
    <row r="8" customFormat="false" ht="13.5" hidden="false" customHeight="true" outlineLevel="0" collapsed="false"/>
    <row r="9" customFormat="false" ht="69.75" hidden="false" customHeight="true" outlineLevel="0" collapsed="false">
      <c r="B9" s="9" t="s">
        <v>4</v>
      </c>
      <c r="C9" s="8" t="s">
        <v>5</v>
      </c>
      <c r="D9" s="8"/>
      <c r="E9" s="8"/>
      <c r="F9" s="8"/>
    </row>
    <row r="10" customFormat="false" ht="13.5" hidden="false" customHeight="true" outlineLevel="0" collapsed="false"/>
    <row r="11" customFormat="false" ht="69.75" hidden="false" customHeight="true" outlineLevel="0" collapsed="false">
      <c r="B11" s="10" t="s">
        <v>6</v>
      </c>
      <c r="C11" s="8" t="s">
        <v>7</v>
      </c>
      <c r="D11" s="8"/>
      <c r="E11" s="8"/>
      <c r="F11" s="8"/>
    </row>
    <row r="12" customFormat="false" ht="9.75" hidden="false" customHeight="true" outlineLevel="0" collapsed="false"/>
    <row r="13" customFormat="false" ht="24" hidden="false" customHeight="true" outlineLevel="0" collapsed="false">
      <c r="B13" s="11" t="s">
        <v>8</v>
      </c>
      <c r="C13" s="11"/>
      <c r="D13" s="11"/>
      <c r="E13" s="11"/>
      <c r="F13" s="11"/>
    </row>
    <row r="14" customFormat="false" ht="15" hidden="false" customHeight="true" outlineLevel="0" collapsed="false">
      <c r="B14" s="12" t="s">
        <v>9</v>
      </c>
      <c r="C14" s="12" t="s">
        <v>10</v>
      </c>
      <c r="D14" s="12" t="s">
        <v>11</v>
      </c>
      <c r="E14" s="12" t="s">
        <v>12</v>
      </c>
    </row>
    <row r="15" customFormat="false" ht="18" hidden="false" customHeight="true" outlineLevel="0" collapsed="false">
      <c r="B15" s="13" t="s">
        <v>13</v>
      </c>
      <c r="C15" s="14" t="s">
        <v>14</v>
      </c>
      <c r="D15" s="15" t="s">
        <v>15</v>
      </c>
      <c r="E15" s="16" t="s">
        <v>16</v>
      </c>
    </row>
    <row r="16" customFormat="false" ht="18" hidden="false" customHeight="true" outlineLevel="0" collapsed="false">
      <c r="B16" s="17" t="s">
        <v>17</v>
      </c>
      <c r="C16" s="18" t="s">
        <v>18</v>
      </c>
      <c r="D16" s="19" t="s">
        <v>19</v>
      </c>
      <c r="E16" s="20" t="s">
        <v>20</v>
      </c>
    </row>
    <row r="17" customFormat="false" ht="18" hidden="false" customHeight="true" outlineLevel="0" collapsed="false">
      <c r="B17" s="13" t="s">
        <v>21</v>
      </c>
      <c r="C17" s="14" t="s">
        <v>22</v>
      </c>
      <c r="D17" s="15" t="s">
        <v>23</v>
      </c>
      <c r="E17" s="16" t="s">
        <v>24</v>
      </c>
    </row>
    <row r="18" customFormat="false" ht="18" hidden="false" customHeight="true" outlineLevel="0" collapsed="false">
      <c r="B18" s="17" t="s">
        <v>25</v>
      </c>
      <c r="C18" s="18" t="s">
        <v>26</v>
      </c>
      <c r="D18" s="19" t="s">
        <v>27</v>
      </c>
      <c r="E18" s="20" t="s">
        <v>28</v>
      </c>
    </row>
    <row r="19" customFormat="false" ht="18" hidden="false" customHeight="true" outlineLevel="0" collapsed="false">
      <c r="B19" s="13" t="s">
        <v>29</v>
      </c>
      <c r="C19" s="14" t="s">
        <v>30</v>
      </c>
      <c r="D19" s="15" t="s">
        <v>31</v>
      </c>
      <c r="E19" s="16" t="s">
        <v>32</v>
      </c>
    </row>
    <row r="20" customFormat="false" ht="18" hidden="false" customHeight="true" outlineLevel="0" collapsed="false">
      <c r="B20" s="17" t="s">
        <v>33</v>
      </c>
      <c r="C20" s="18" t="s">
        <v>34</v>
      </c>
      <c r="D20" s="19" t="s">
        <v>35</v>
      </c>
      <c r="E20" s="20" t="s">
        <v>36</v>
      </c>
    </row>
    <row r="21" customFormat="false" ht="18" hidden="false" customHeight="true" outlineLevel="0" collapsed="false">
      <c r="B21" s="13" t="s">
        <v>37</v>
      </c>
      <c r="C21" s="14" t="s">
        <v>38</v>
      </c>
      <c r="D21" s="15" t="s">
        <v>39</v>
      </c>
      <c r="E21" s="16" t="s">
        <v>40</v>
      </c>
    </row>
    <row r="22" customFormat="false" ht="18" hidden="false" customHeight="true" outlineLevel="0" collapsed="false">
      <c r="B22" s="17" t="s">
        <v>41</v>
      </c>
      <c r="C22" s="18" t="s">
        <v>42</v>
      </c>
      <c r="D22" s="19" t="s">
        <v>43</v>
      </c>
      <c r="E22" s="20" t="s">
        <v>44</v>
      </c>
    </row>
    <row r="24" customFormat="false" ht="19.5" hidden="false" customHeight="true" outlineLevel="0" collapsed="false">
      <c r="B24" s="21" t="s">
        <v>45</v>
      </c>
      <c r="C24" s="21"/>
      <c r="D24" s="21"/>
      <c r="E24" s="21"/>
      <c r="F24" s="21"/>
    </row>
  </sheetData>
  <mergeCells count="7">
    <mergeCell ref="B2:F2"/>
    <mergeCell ref="B3:F3"/>
    <mergeCell ref="C7:F7"/>
    <mergeCell ref="C9:F9"/>
    <mergeCell ref="C11:F11"/>
    <mergeCell ref="B13:F1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5" min="3" style="1" width="18"/>
    <col collapsed="false" customWidth="true" hidden="false" outlineLevel="0" max="6" min="6" style="1" width="24"/>
    <col collapsed="false" customWidth="true" hidden="false" outlineLevel="0" max="7" min="7" style="1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2"/>
      <c r="B2" s="22" t="s">
        <v>46</v>
      </c>
      <c r="C2" s="22"/>
      <c r="D2" s="22"/>
      <c r="E2" s="22"/>
      <c r="F2" s="22"/>
      <c r="G2" s="2"/>
    </row>
    <row r="4" customFormat="false" ht="19.5" hidden="false" customHeight="true" outlineLevel="0" collapsed="false">
      <c r="B4" s="23" t="s">
        <v>47</v>
      </c>
    </row>
    <row r="5" customFormat="false" ht="15" hidden="false" customHeight="true" outlineLevel="0" collapsed="false">
      <c r="B5" s="12" t="s">
        <v>48</v>
      </c>
      <c r="C5" s="12" t="s">
        <v>10</v>
      </c>
      <c r="D5" s="12" t="s">
        <v>49</v>
      </c>
      <c r="E5" s="12" t="s">
        <v>12</v>
      </c>
    </row>
    <row r="6" customFormat="false" ht="16.5" hidden="false" customHeight="true" outlineLevel="0" collapsed="false">
      <c r="B6" s="24" t="s">
        <v>50</v>
      </c>
      <c r="C6" s="25" t="n">
        <v>5200</v>
      </c>
      <c r="D6" s="16" t="s">
        <v>51</v>
      </c>
      <c r="E6" s="16" t="s">
        <v>52</v>
      </c>
    </row>
    <row r="7" customFormat="false" ht="16.5" hidden="false" customHeight="true" outlineLevel="0" collapsed="false">
      <c r="B7" s="26" t="s">
        <v>53</v>
      </c>
      <c r="C7" s="27" t="n">
        <v>0.025</v>
      </c>
      <c r="D7" s="20" t="s">
        <v>54</v>
      </c>
      <c r="E7" s="20" t="s">
        <v>55</v>
      </c>
    </row>
    <row r="8" customFormat="false" ht="16.5" hidden="false" customHeight="true" outlineLevel="0" collapsed="false">
      <c r="B8" s="24" t="s">
        <v>56</v>
      </c>
      <c r="C8" s="28" t="n">
        <v>0.035</v>
      </c>
      <c r="D8" s="16" t="s">
        <v>57</v>
      </c>
      <c r="E8" s="16" t="s">
        <v>58</v>
      </c>
    </row>
    <row r="9" customFormat="false" ht="16.5" hidden="false" customHeight="true" outlineLevel="0" collapsed="false">
      <c r="B9" s="26" t="s">
        <v>59</v>
      </c>
      <c r="C9" s="27" t="n">
        <v>0.045</v>
      </c>
      <c r="D9" s="20" t="s">
        <v>60</v>
      </c>
      <c r="E9" s="20" t="s">
        <v>61</v>
      </c>
    </row>
    <row r="10" customFormat="false" ht="16.5" hidden="false" customHeight="true" outlineLevel="0" collapsed="false">
      <c r="B10" s="24" t="s">
        <v>62</v>
      </c>
      <c r="C10" s="25" t="n">
        <v>280</v>
      </c>
      <c r="D10" s="16" t="s">
        <v>63</v>
      </c>
      <c r="E10" s="16" t="s">
        <v>64</v>
      </c>
    </row>
    <row r="11" customFormat="false" ht="16.5" hidden="false" customHeight="true" outlineLevel="0" collapsed="false">
      <c r="B11" s="26" t="s">
        <v>65</v>
      </c>
      <c r="C11" s="29" t="n">
        <v>340</v>
      </c>
      <c r="D11" s="20" t="s">
        <v>66</v>
      </c>
      <c r="E11" s="20" t="s">
        <v>64</v>
      </c>
    </row>
    <row r="12" customFormat="false" ht="16.5" hidden="false" customHeight="true" outlineLevel="0" collapsed="false">
      <c r="B12" s="24" t="s">
        <v>67</v>
      </c>
      <c r="C12" s="25" t="n">
        <v>410</v>
      </c>
      <c r="D12" s="16" t="s">
        <v>68</v>
      </c>
      <c r="E12" s="16" t="s">
        <v>64</v>
      </c>
    </row>
    <row r="13" customFormat="false" ht="16.5" hidden="false" customHeight="true" outlineLevel="0" collapsed="false">
      <c r="B13" s="26" t="s">
        <v>69</v>
      </c>
      <c r="C13" s="29" t="n">
        <v>22</v>
      </c>
      <c r="D13" s="20" t="s">
        <v>70</v>
      </c>
      <c r="E13" s="20" t="s">
        <v>71</v>
      </c>
    </row>
    <row r="14" customFormat="false" ht="16.5" hidden="false" customHeight="true" outlineLevel="0" collapsed="false">
      <c r="B14" s="24" t="s">
        <v>72</v>
      </c>
      <c r="C14" s="25" t="n">
        <v>34</v>
      </c>
      <c r="D14" s="16" t="s">
        <v>73</v>
      </c>
      <c r="E14" s="16" t="s">
        <v>74</v>
      </c>
    </row>
    <row r="15" customFormat="false" ht="16.5" hidden="false" customHeight="true" outlineLevel="0" collapsed="false">
      <c r="B15" s="26" t="s">
        <v>75</v>
      </c>
      <c r="C15" s="29" t="n">
        <v>47</v>
      </c>
      <c r="D15" s="20" t="s">
        <v>76</v>
      </c>
      <c r="E15" s="20" t="s">
        <v>77</v>
      </c>
    </row>
    <row r="16" customFormat="false" ht="16.5" hidden="false" customHeight="true" outlineLevel="0" collapsed="false">
      <c r="B16" s="24" t="s">
        <v>78</v>
      </c>
      <c r="C16" s="30" t="n">
        <v>1.5</v>
      </c>
      <c r="D16" s="16" t="s">
        <v>79</v>
      </c>
      <c r="E16" s="16" t="s">
        <v>80</v>
      </c>
    </row>
    <row r="17" customFormat="false" ht="16.5" hidden="false" customHeight="true" outlineLevel="0" collapsed="false">
      <c r="B17" s="26" t="s">
        <v>81</v>
      </c>
      <c r="C17" s="27" t="n">
        <v>0.34</v>
      </c>
      <c r="D17" s="20" t="s">
        <v>82</v>
      </c>
      <c r="E17" s="20" t="s">
        <v>36</v>
      </c>
    </row>
    <row r="18" customFormat="false" ht="16.5" hidden="false" customHeight="true" outlineLevel="0" collapsed="false">
      <c r="B18" s="24" t="s">
        <v>83</v>
      </c>
      <c r="C18" s="30" t="n">
        <v>1</v>
      </c>
      <c r="D18" s="16" t="s">
        <v>84</v>
      </c>
      <c r="E18" s="16" t="s">
        <v>85</v>
      </c>
    </row>
    <row r="20" customFormat="false" ht="19.5" hidden="false" customHeight="true" outlineLevel="0" collapsed="false">
      <c r="B20" s="23" t="s">
        <v>86</v>
      </c>
    </row>
    <row r="21" customFormat="false" ht="30" hidden="false" customHeight="true" outlineLevel="0" collapsed="false">
      <c r="B21" s="31" t="s">
        <v>9</v>
      </c>
      <c r="C21" s="31" t="s">
        <v>87</v>
      </c>
      <c r="D21" s="31" t="s">
        <v>88</v>
      </c>
      <c r="E21" s="31" t="s">
        <v>89</v>
      </c>
      <c r="F21" s="31" t="s">
        <v>12</v>
      </c>
    </row>
    <row r="22" customFormat="false" ht="19.5" hidden="false" customHeight="true" outlineLevel="0" collapsed="false">
      <c r="B22" s="32" t="s">
        <v>90</v>
      </c>
      <c r="C22" s="33" t="n">
        <f aca="false">C6*C7</f>
        <v>130</v>
      </c>
      <c r="D22" s="33" t="n">
        <f aca="false">C6*C8</f>
        <v>182</v>
      </c>
      <c r="E22" s="33" t="n">
        <f aca="false">C6*C9</f>
        <v>234</v>
      </c>
      <c r="F22" s="34" t="s">
        <v>40</v>
      </c>
    </row>
    <row r="23" customFormat="false" ht="19.5" hidden="false" customHeight="true" outlineLevel="0" collapsed="false">
      <c r="B23" s="17" t="s">
        <v>91</v>
      </c>
      <c r="C23" s="35" t="n">
        <f aca="false">C7</f>
        <v>0.025</v>
      </c>
      <c r="D23" s="35" t="n">
        <f aca="false">C8</f>
        <v>0.035</v>
      </c>
      <c r="E23" s="35" t="n">
        <f aca="false">C9</f>
        <v>0.045</v>
      </c>
      <c r="F23" s="36" t="s">
        <v>48</v>
      </c>
    </row>
    <row r="24" customFormat="false" ht="19.5" hidden="false" customHeight="true" outlineLevel="0" collapsed="false">
      <c r="B24" s="13" t="s">
        <v>92</v>
      </c>
      <c r="C24" s="37" t="n">
        <f aca="false">C22/12</f>
        <v>10.8333333333333</v>
      </c>
      <c r="D24" s="37" t="n">
        <f aca="false">D22/12</f>
        <v>15.1666666666667</v>
      </c>
      <c r="E24" s="37" t="n">
        <f aca="false">E22/12</f>
        <v>19.5</v>
      </c>
      <c r="F24" s="38" t="s">
        <v>93</v>
      </c>
    </row>
    <row r="25" customFormat="false" ht="19.5" hidden="false" customHeight="true" outlineLevel="0" collapsed="false">
      <c r="B25" s="17" t="s">
        <v>94</v>
      </c>
      <c r="C25" s="39" t="n">
        <f aca="false">C22/C16*1000</f>
        <v>86666.6666666667</v>
      </c>
      <c r="D25" s="39" t="n">
        <f aca="false">D22/C16*1000</f>
        <v>121333.333333333</v>
      </c>
      <c r="E25" s="39" t="n">
        <f aca="false">E22/C16*1000</f>
        <v>156000</v>
      </c>
      <c r="F25" s="36" t="s">
        <v>93</v>
      </c>
    </row>
    <row r="26" customFormat="false" ht="19.5" hidden="false" customHeight="true" outlineLevel="0" collapsed="false">
      <c r="B26" s="40" t="s">
        <v>95</v>
      </c>
      <c r="C26" s="41" t="n">
        <f aca="false">C10</f>
        <v>280</v>
      </c>
      <c r="D26" s="41" t="n">
        <f aca="false">C11</f>
        <v>340</v>
      </c>
      <c r="E26" s="41" t="n">
        <f aca="false">C12</f>
        <v>410</v>
      </c>
      <c r="F26" s="42" t="s">
        <v>96</v>
      </c>
    </row>
    <row r="27" customFormat="false" ht="19.5" hidden="false" customHeight="true" outlineLevel="0" collapsed="false">
      <c r="B27" s="17" t="s">
        <v>97</v>
      </c>
      <c r="C27" s="43" t="n">
        <f aca="false">C13</f>
        <v>22</v>
      </c>
      <c r="D27" s="43" t="n">
        <f aca="false">C14</f>
        <v>34</v>
      </c>
      <c r="E27" s="43" t="n">
        <f aca="false">C15</f>
        <v>47</v>
      </c>
      <c r="F27" s="36" t="s">
        <v>96</v>
      </c>
    </row>
    <row r="28" customFormat="false" ht="19.5" hidden="false" customHeight="true" outlineLevel="0" collapsed="false">
      <c r="B28" s="44" t="s">
        <v>98</v>
      </c>
      <c r="C28" s="45" t="n">
        <f aca="false">C22*C17</f>
        <v>44.2</v>
      </c>
      <c r="D28" s="45" t="n">
        <f aca="false">D22*C17</f>
        <v>61.88</v>
      </c>
      <c r="E28" s="45" t="n">
        <f aca="false">E22*C17</f>
        <v>79.56</v>
      </c>
      <c r="F28" s="46" t="s">
        <v>36</v>
      </c>
    </row>
    <row r="29" customFormat="false" ht="19.5" hidden="false" customHeight="true" outlineLevel="0" collapsed="false">
      <c r="B29" s="44" t="s">
        <v>99</v>
      </c>
      <c r="C29" s="47" t="n">
        <f aca="false">C22*C17/C18</f>
        <v>44.2</v>
      </c>
      <c r="D29" s="47" t="n">
        <f aca="false">D22*C17/C18</f>
        <v>61.88</v>
      </c>
      <c r="E29" s="47" t="n">
        <f aca="false">E22*C17/C18</f>
        <v>79.56</v>
      </c>
      <c r="F29" s="46" t="s">
        <v>93</v>
      </c>
    </row>
    <row r="31" customFormat="false" ht="13.5" hidden="false" customHeight="true" outlineLevel="0" collapsed="false"/>
    <row r="32" customFormat="false" ht="15" hidden="false" customHeight="true" outlineLevel="0" collapsed="false">
      <c r="B32" s="23" t="s">
        <v>100</v>
      </c>
    </row>
    <row r="33" customFormat="false" ht="31.5" hidden="false" customHeight="true" outlineLevel="0" collapsed="false">
      <c r="B33" s="48" t="s">
        <v>101</v>
      </c>
      <c r="C33" s="48"/>
      <c r="D33" s="48"/>
      <c r="E33" s="48"/>
      <c r="F33" s="48"/>
    </row>
    <row r="34" customFormat="false" ht="31.5" hidden="false" customHeight="true" outlineLevel="0" collapsed="false">
      <c r="B34" s="48" t="s">
        <v>102</v>
      </c>
      <c r="C34" s="48"/>
      <c r="D34" s="48"/>
      <c r="E34" s="48"/>
      <c r="F34" s="48"/>
    </row>
    <row r="35" customFormat="false" ht="31.5" hidden="false" customHeight="true" outlineLevel="0" collapsed="false">
      <c r="B35" s="48" t="s">
        <v>103</v>
      </c>
      <c r="C35" s="48"/>
      <c r="D35" s="48"/>
      <c r="E35" s="48"/>
      <c r="F35" s="48"/>
    </row>
  </sheetData>
  <mergeCells count="4">
    <mergeCell ref="B2:F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7" min="5" style="1" width="13"/>
    <col collapsed="false" customWidth="true" hidden="false" outlineLevel="0" max="10" min="8" style="1" width="16"/>
    <col collapsed="false" customWidth="true" hidden="false" outlineLevel="0" max="11" min="11" style="1" width="14"/>
    <col collapsed="false" customWidth="true" hidden="false" outlineLevel="0" max="12" min="12" style="1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2"/>
      <c r="B2" s="22" t="s">
        <v>104</v>
      </c>
      <c r="C2" s="22"/>
      <c r="D2" s="22"/>
      <c r="E2" s="22"/>
      <c r="F2" s="22"/>
      <c r="G2" s="22"/>
      <c r="H2" s="22"/>
      <c r="I2" s="22"/>
      <c r="J2" s="22"/>
      <c r="K2" s="22"/>
      <c r="L2" s="2"/>
    </row>
    <row r="4" customFormat="false" ht="30" hidden="false" customHeight="true" outlineLevel="0" collapsed="false">
      <c r="B4" s="49" t="s">
        <v>105</v>
      </c>
      <c r="C4" s="49" t="s">
        <v>106</v>
      </c>
      <c r="D4" s="49" t="s">
        <v>107</v>
      </c>
      <c r="E4" s="49" t="s">
        <v>108</v>
      </c>
      <c r="F4" s="49" t="s">
        <v>109</v>
      </c>
      <c r="G4" s="49" t="s">
        <v>110</v>
      </c>
      <c r="H4" s="49" t="s">
        <v>111</v>
      </c>
      <c r="I4" s="49" t="s">
        <v>112</v>
      </c>
      <c r="J4" s="49" t="s">
        <v>113</v>
      </c>
      <c r="K4" s="49" t="s">
        <v>114</v>
      </c>
    </row>
    <row r="5" customFormat="false" ht="18" hidden="false" customHeight="true" outlineLevel="0" collapsed="false">
      <c r="B5" s="32" t="s">
        <v>115</v>
      </c>
      <c r="C5" s="50" t="s">
        <v>116</v>
      </c>
      <c r="D5" s="51" t="s">
        <v>117</v>
      </c>
      <c r="E5" s="52" t="n">
        <v>92.6</v>
      </c>
      <c r="F5" s="50" t="n">
        <v>48</v>
      </c>
      <c r="G5" s="50" t="n">
        <v>4.9</v>
      </c>
      <c r="H5" s="50" t="n">
        <v>20</v>
      </c>
      <c r="I5" s="53" t="n">
        <v>9162</v>
      </c>
      <c r="J5" s="50" t="n">
        <v>538</v>
      </c>
      <c r="K5" s="50" t="n">
        <v>93.4</v>
      </c>
    </row>
    <row r="6" customFormat="false" ht="18" hidden="false" customHeight="true" outlineLevel="0" collapsed="false">
      <c r="B6" s="17" t="s">
        <v>118</v>
      </c>
      <c r="C6" s="54" t="s">
        <v>119</v>
      </c>
      <c r="D6" s="55" t="s">
        <v>117</v>
      </c>
      <c r="E6" s="56" t="n">
        <v>86.8</v>
      </c>
      <c r="F6" s="54" t="n">
        <v>45.9</v>
      </c>
      <c r="G6" s="54" t="n">
        <v>4.1</v>
      </c>
      <c r="H6" s="54" t="n">
        <v>18</v>
      </c>
      <c r="I6" s="57" t="n">
        <v>5835</v>
      </c>
      <c r="J6" s="54" t="n">
        <v>371</v>
      </c>
      <c r="K6" s="54" t="n">
        <v>92.8</v>
      </c>
    </row>
    <row r="7" customFormat="false" ht="18" hidden="false" customHeight="true" outlineLevel="0" collapsed="false">
      <c r="B7" s="58" t="s">
        <v>120</v>
      </c>
      <c r="C7" s="59" t="s">
        <v>116</v>
      </c>
      <c r="D7" s="60" t="s">
        <v>121</v>
      </c>
      <c r="E7" s="61" t="n">
        <v>82.7</v>
      </c>
      <c r="F7" s="59" t="n">
        <v>46.1</v>
      </c>
      <c r="G7" s="59" t="n">
        <v>4.4</v>
      </c>
      <c r="H7" s="59" t="n">
        <v>17</v>
      </c>
      <c r="I7" s="62" t="n">
        <v>6530</v>
      </c>
      <c r="J7" s="59" t="n">
        <v>418</v>
      </c>
      <c r="K7" s="59" t="n">
        <v>93.7</v>
      </c>
    </row>
    <row r="8" customFormat="false" ht="18" hidden="false" customHeight="true" outlineLevel="0" collapsed="false">
      <c r="B8" s="17" t="s">
        <v>122</v>
      </c>
      <c r="C8" s="54" t="s">
        <v>123</v>
      </c>
      <c r="D8" s="63" t="s">
        <v>121</v>
      </c>
      <c r="E8" s="56" t="n">
        <v>80.2</v>
      </c>
      <c r="F8" s="54" t="n">
        <v>48.2</v>
      </c>
      <c r="G8" s="54" t="n">
        <v>5.8</v>
      </c>
      <c r="H8" s="54" t="n">
        <v>24</v>
      </c>
      <c r="I8" s="57" t="n">
        <v>17338</v>
      </c>
      <c r="J8" s="54" t="n">
        <v>412</v>
      </c>
      <c r="K8" s="54" t="n">
        <v>91.2</v>
      </c>
    </row>
    <row r="9" customFormat="false" ht="18" hidden="false" customHeight="true" outlineLevel="0" collapsed="false">
      <c r="B9" s="58" t="s">
        <v>124</v>
      </c>
      <c r="C9" s="59" t="s">
        <v>119</v>
      </c>
      <c r="D9" s="60" t="s">
        <v>121</v>
      </c>
      <c r="E9" s="61" t="n">
        <v>78.4</v>
      </c>
      <c r="F9" s="59" t="n">
        <v>46.8</v>
      </c>
      <c r="G9" s="59" t="n">
        <v>4.5</v>
      </c>
      <c r="H9" s="59" t="n">
        <v>21</v>
      </c>
      <c r="I9" s="62" t="n">
        <v>16247</v>
      </c>
      <c r="J9" s="59" t="n">
        <v>614</v>
      </c>
      <c r="K9" s="59" t="n">
        <v>92.1</v>
      </c>
    </row>
    <row r="10" customFormat="false" ht="18" hidden="false" customHeight="true" outlineLevel="0" collapsed="false">
      <c r="B10" s="17" t="s">
        <v>125</v>
      </c>
      <c r="C10" s="54" t="s">
        <v>126</v>
      </c>
      <c r="D10" s="63" t="s">
        <v>121</v>
      </c>
      <c r="E10" s="56" t="n">
        <v>78.3</v>
      </c>
      <c r="F10" s="54" t="n">
        <v>47.1</v>
      </c>
      <c r="G10" s="54" t="n">
        <v>4.7</v>
      </c>
      <c r="H10" s="54" t="n">
        <v>19</v>
      </c>
      <c r="I10" s="57" t="n">
        <v>11982</v>
      </c>
      <c r="J10" s="54" t="n">
        <v>723</v>
      </c>
      <c r="K10" s="54" t="n">
        <v>94.1</v>
      </c>
    </row>
    <row r="11" customFormat="false" ht="18" hidden="false" customHeight="true" outlineLevel="0" collapsed="false">
      <c r="B11" s="58" t="s">
        <v>127</v>
      </c>
      <c r="C11" s="59" t="s">
        <v>126</v>
      </c>
      <c r="D11" s="60" t="s">
        <v>121</v>
      </c>
      <c r="E11" s="61" t="n">
        <v>74.7</v>
      </c>
      <c r="F11" s="59" t="n">
        <v>47.4</v>
      </c>
      <c r="G11" s="59" t="n">
        <v>5.1</v>
      </c>
      <c r="H11" s="59" t="n">
        <v>22</v>
      </c>
      <c r="I11" s="62" t="n">
        <v>40012</v>
      </c>
      <c r="J11" s="59" t="n">
        <v>891</v>
      </c>
      <c r="K11" s="59" t="n">
        <v>92.8</v>
      </c>
    </row>
    <row r="12" customFormat="false" ht="18" hidden="false" customHeight="true" outlineLevel="0" collapsed="false">
      <c r="B12" s="17" t="s">
        <v>128</v>
      </c>
      <c r="C12" s="54" t="s">
        <v>123</v>
      </c>
      <c r="D12" s="63" t="s">
        <v>121</v>
      </c>
      <c r="E12" s="56" t="n">
        <v>67.5</v>
      </c>
      <c r="F12" s="54" t="n">
        <v>46.5</v>
      </c>
      <c r="G12" s="54" t="n">
        <v>5.3</v>
      </c>
      <c r="H12" s="54" t="n">
        <v>18</v>
      </c>
      <c r="I12" s="57" t="n">
        <v>8174</v>
      </c>
      <c r="J12" s="54" t="n">
        <v>287</v>
      </c>
      <c r="K12" s="54" t="n">
        <v>83.4</v>
      </c>
    </row>
    <row r="13" customFormat="false" ht="18" hidden="false" customHeight="true" outlineLevel="0" collapsed="false">
      <c r="B13" s="40" t="s">
        <v>129</v>
      </c>
      <c r="C13" s="64" t="s">
        <v>130</v>
      </c>
      <c r="D13" s="65" t="s">
        <v>131</v>
      </c>
      <c r="E13" s="66" t="n">
        <v>63.4</v>
      </c>
      <c r="F13" s="64" t="n">
        <v>45.8</v>
      </c>
      <c r="G13" s="64" t="n">
        <v>3.9</v>
      </c>
      <c r="H13" s="64" t="n">
        <v>17</v>
      </c>
      <c r="I13" s="67" t="n">
        <v>13126</v>
      </c>
      <c r="J13" s="64" t="n">
        <v>325</v>
      </c>
      <c r="K13" s="64" t="n">
        <v>90.2</v>
      </c>
    </row>
    <row r="14" customFormat="false" ht="18" hidden="false" customHeight="true" outlineLevel="0" collapsed="false">
      <c r="B14" s="17" t="s">
        <v>132</v>
      </c>
      <c r="C14" s="54" t="s">
        <v>130</v>
      </c>
      <c r="D14" s="68" t="s">
        <v>131</v>
      </c>
      <c r="E14" s="56" t="n">
        <v>55.8</v>
      </c>
      <c r="F14" s="54" t="n">
        <v>45.2</v>
      </c>
      <c r="G14" s="54" t="n">
        <v>3.7</v>
      </c>
      <c r="H14" s="54" t="n">
        <v>15</v>
      </c>
      <c r="I14" s="57" t="n">
        <v>9843</v>
      </c>
      <c r="J14" s="54" t="n">
        <v>241</v>
      </c>
      <c r="K14" s="54" t="n">
        <v>88.7</v>
      </c>
    </row>
    <row r="15" customFormat="false" ht="18" hidden="false" customHeight="true" outlineLevel="0" collapsed="false">
      <c r="B15" s="40" t="s">
        <v>133</v>
      </c>
      <c r="C15" s="64" t="s">
        <v>134</v>
      </c>
      <c r="D15" s="65" t="s">
        <v>131</v>
      </c>
      <c r="E15" s="66" t="n">
        <v>47.2</v>
      </c>
      <c r="F15" s="64" t="n">
        <v>45.1</v>
      </c>
      <c r="G15" s="64" t="n">
        <v>3.8</v>
      </c>
      <c r="H15" s="64" t="n">
        <v>16</v>
      </c>
      <c r="I15" s="67" t="n">
        <v>12618</v>
      </c>
      <c r="J15" s="64" t="n">
        <v>312</v>
      </c>
      <c r="K15" s="64" t="n">
        <v>84.3</v>
      </c>
    </row>
    <row r="16" customFormat="false" ht="18" hidden="false" customHeight="true" outlineLevel="0" collapsed="false">
      <c r="B16" s="17" t="s">
        <v>135</v>
      </c>
      <c r="C16" s="54" t="s">
        <v>123</v>
      </c>
      <c r="D16" s="68" t="s">
        <v>131</v>
      </c>
      <c r="E16" s="56" t="n">
        <v>43.4</v>
      </c>
      <c r="F16" s="54" t="n">
        <v>45</v>
      </c>
      <c r="G16" s="54" t="n">
        <v>4.2</v>
      </c>
      <c r="H16" s="54" t="n">
        <v>14</v>
      </c>
      <c r="I16" s="57" t="n">
        <v>5736</v>
      </c>
      <c r="J16" s="54" t="n">
        <v>167</v>
      </c>
      <c r="K16" s="54" t="n">
        <v>79.8</v>
      </c>
    </row>
    <row r="17" customFormat="false" ht="18" hidden="false" customHeight="true" outlineLevel="0" collapsed="false">
      <c r="B17" s="40" t="s">
        <v>136</v>
      </c>
      <c r="C17" s="64" t="s">
        <v>134</v>
      </c>
      <c r="D17" s="65" t="s">
        <v>131</v>
      </c>
      <c r="E17" s="66" t="n">
        <v>40.6</v>
      </c>
      <c r="F17" s="64" t="n">
        <v>44.3</v>
      </c>
      <c r="G17" s="64" t="n">
        <v>3.6</v>
      </c>
      <c r="H17" s="64" t="n">
        <v>14</v>
      </c>
      <c r="I17" s="67" t="n">
        <v>31001</v>
      </c>
      <c r="J17" s="64" t="n">
        <v>443</v>
      </c>
      <c r="K17" s="64" t="n">
        <v>80.2</v>
      </c>
    </row>
    <row r="18" customFormat="false" ht="18" hidden="false" customHeight="true" outlineLevel="0" collapsed="false">
      <c r="B18" s="17" t="s">
        <v>137</v>
      </c>
      <c r="C18" s="54" t="s">
        <v>116</v>
      </c>
      <c r="D18" s="69" t="s">
        <v>138</v>
      </c>
      <c r="E18" s="56" t="n">
        <v>37.7</v>
      </c>
      <c r="F18" s="54" t="n">
        <v>43.8</v>
      </c>
      <c r="G18" s="54" t="n">
        <v>3.4</v>
      </c>
      <c r="H18" s="54" t="n">
        <v>12</v>
      </c>
      <c r="I18" s="57" t="n">
        <v>14578</v>
      </c>
      <c r="J18" s="54" t="n">
        <v>289</v>
      </c>
      <c r="K18" s="54" t="n">
        <v>88.1</v>
      </c>
    </row>
    <row r="19" customFormat="false" ht="18" hidden="false" customHeight="true" outlineLevel="0" collapsed="false">
      <c r="B19" s="44" t="s">
        <v>139</v>
      </c>
      <c r="C19" s="70" t="s">
        <v>123</v>
      </c>
      <c r="D19" s="71" t="s">
        <v>138</v>
      </c>
      <c r="E19" s="72" t="n">
        <v>34.2</v>
      </c>
      <c r="F19" s="70" t="n">
        <v>46.2</v>
      </c>
      <c r="G19" s="70" t="n">
        <v>5.1</v>
      </c>
      <c r="H19" s="70" t="n">
        <v>16</v>
      </c>
      <c r="I19" s="73" t="n">
        <v>5812</v>
      </c>
      <c r="J19" s="70" t="n">
        <v>198</v>
      </c>
      <c r="K19" s="70" t="n">
        <v>68.3</v>
      </c>
    </row>
    <row r="20" customFormat="false" ht="18" hidden="false" customHeight="true" outlineLevel="0" collapsed="false">
      <c r="B20" s="17" t="s">
        <v>140</v>
      </c>
      <c r="C20" s="54" t="s">
        <v>141</v>
      </c>
      <c r="D20" s="69" t="s">
        <v>138</v>
      </c>
      <c r="E20" s="56" t="n">
        <v>25.1</v>
      </c>
      <c r="F20" s="54" t="n">
        <v>42.1</v>
      </c>
      <c r="G20" s="54" t="n">
        <v>2.8</v>
      </c>
      <c r="H20" s="54" t="n">
        <v>9</v>
      </c>
      <c r="I20" s="57" t="n">
        <v>11612</v>
      </c>
      <c r="J20" s="54" t="n">
        <v>187</v>
      </c>
      <c r="K20" s="54" t="n">
        <v>83.6</v>
      </c>
    </row>
    <row r="21" customFormat="false" ht="18" hidden="false" customHeight="true" outlineLevel="0" collapsed="false">
      <c r="B21" s="44" t="s">
        <v>142</v>
      </c>
      <c r="C21" s="70" t="s">
        <v>130</v>
      </c>
      <c r="D21" s="71" t="s">
        <v>138</v>
      </c>
      <c r="E21" s="72" t="n">
        <v>23.2</v>
      </c>
      <c r="F21" s="70" t="n">
        <v>41.8</v>
      </c>
      <c r="G21" s="70" t="n">
        <v>2.6</v>
      </c>
      <c r="H21" s="70" t="n">
        <v>10</v>
      </c>
      <c r="I21" s="73" t="n">
        <v>12879</v>
      </c>
      <c r="J21" s="70" t="n">
        <v>219</v>
      </c>
      <c r="K21" s="70" t="n">
        <v>78.4</v>
      </c>
    </row>
    <row r="22" customFormat="false" ht="18" hidden="false" customHeight="true" outlineLevel="0" collapsed="false">
      <c r="B22" s="17" t="s">
        <v>143</v>
      </c>
      <c r="C22" s="54" t="s">
        <v>141</v>
      </c>
      <c r="D22" s="69" t="s">
        <v>138</v>
      </c>
      <c r="E22" s="56" t="n">
        <v>0</v>
      </c>
      <c r="F22" s="54" t="n">
        <v>38.2</v>
      </c>
      <c r="G22" s="54" t="n">
        <v>1.4</v>
      </c>
      <c r="H22" s="54" t="n">
        <v>4</v>
      </c>
      <c r="I22" s="57" t="n">
        <v>4073</v>
      </c>
      <c r="J22" s="54" t="n">
        <v>67</v>
      </c>
      <c r="K22" s="54" t="n">
        <v>71.2</v>
      </c>
    </row>
    <row r="23" customFormat="false" ht="19.5" hidden="false" customHeight="true" outlineLevel="0" collapsed="false">
      <c r="B23" s="74" t="s">
        <v>144</v>
      </c>
      <c r="C23" s="75"/>
      <c r="D23" s="75"/>
      <c r="E23" s="76" t="n">
        <f aca="false">AVERAGE(E5:E22)</f>
        <v>56.2111111111111</v>
      </c>
      <c r="F23" s="75"/>
      <c r="G23" s="75"/>
      <c r="H23" s="77" t="n">
        <f aca="false">SUM(I5:I22)</f>
        <v>236558</v>
      </c>
      <c r="I23" s="77" t="n">
        <f aca="false">SUM(J5:J22)</f>
        <v>6702</v>
      </c>
      <c r="J23" s="75"/>
      <c r="K23" s="75"/>
    </row>
  </sheetData>
  <mergeCells count="1">
    <mergeCell ref="B2:K2"/>
  </mergeCells>
  <conditionalFormatting sqref="E5:E22">
    <cfRule type="colorScale" priority="2">
      <colorScale>
        <cfvo type="min" val="0"/>
        <cfvo type="percentile" val="50"/>
        <cfvo type="max" val="0"/>
        <color rgb="FFAEC7E8"/>
        <color rgb="FFFFBB78"/>
        <color rgb="FFD6272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2026-06-26T20:14:38Z</dcterms:created>
  <dc:creator>openpyxl</dc:creator>
  <dc:description/>
  <dc:language>en-US</dc:language>
  <cp:lastModifiedBy/>
  <dcterms:modified xsi:type="dcterms:W3CDTF">2026-06-26T20:15:30Z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